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DC6DEA7-7982-423A-8BA8-C82184708D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ntenimiento" sheetId="1" r:id="rId1"/>
    <sheet name="O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6" i="1" l="1"/>
  <c r="T16" i="1"/>
  <c r="S15" i="1"/>
  <c r="T15" i="1" s="1"/>
  <c r="R7" i="2"/>
  <c r="S7" i="2" s="1"/>
  <c r="R18" i="2"/>
  <c r="S18" i="2" s="1"/>
  <c r="R17" i="2"/>
  <c r="S17" i="2" s="1"/>
  <c r="R16" i="2"/>
  <c r="S16" i="2" s="1"/>
  <c r="R15" i="2"/>
  <c r="S15" i="2" s="1"/>
  <c r="R14" i="2"/>
  <c r="S14" i="2" s="1"/>
  <c r="R13" i="2"/>
  <c r="S13" i="2" s="1"/>
  <c r="R12" i="2"/>
  <c r="S12" i="2" s="1"/>
  <c r="R11" i="2"/>
  <c r="S11" i="2" s="1"/>
  <c r="R10" i="2"/>
  <c r="S10" i="2" s="1"/>
  <c r="R9" i="2"/>
  <c r="S9" i="2" s="1"/>
  <c r="R8" i="2"/>
  <c r="S8" i="2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7" i="1"/>
  <c r="T17" i="1" s="1"/>
  <c r="S18" i="1"/>
  <c r="T18" i="1" s="1"/>
  <c r="S19" i="1"/>
  <c r="T19" i="1" s="1"/>
  <c r="S20" i="1"/>
  <c r="T20" i="1" s="1"/>
</calcChain>
</file>

<file path=xl/sharedStrings.xml><?xml version="1.0" encoding="utf-8"?>
<sst xmlns="http://schemas.openxmlformats.org/spreadsheetml/2006/main" count="125" uniqueCount="68">
  <si>
    <t>Dirección de Tecnologías de la Información</t>
  </si>
  <si>
    <t>Departamento de Soporte y Servicio Técnico</t>
  </si>
  <si>
    <t>No.</t>
  </si>
  <si>
    <t>Insumo</t>
  </si>
  <si>
    <t>Presentación</t>
  </si>
  <si>
    <t>Unidad</t>
  </si>
  <si>
    <t>Envase</t>
  </si>
  <si>
    <t>20 Onza</t>
  </si>
  <si>
    <t>Bola</t>
  </si>
  <si>
    <t>1 Libra</t>
  </si>
  <si>
    <t>1 Litro</t>
  </si>
  <si>
    <t>Tubo</t>
  </si>
  <si>
    <t>4 Gramos</t>
  </si>
  <si>
    <t>Bote</t>
  </si>
  <si>
    <t>1 Unidad(es)</t>
  </si>
  <si>
    <t>1 Galón</t>
  </si>
  <si>
    <t>1 Unidad (es)</t>
  </si>
  <si>
    <t>720 Mililitro</t>
  </si>
  <si>
    <t>Paquete</t>
  </si>
  <si>
    <t>4 Unidad(es)</t>
  </si>
  <si>
    <t>30 Unidad(es)</t>
  </si>
  <si>
    <t>Tamaño Presentación</t>
  </si>
  <si>
    <t>Aire Comprimido</t>
  </si>
  <si>
    <t>Wipe</t>
  </si>
  <si>
    <t>Espuma Limpiadora</t>
  </si>
  <si>
    <t>Alcohol Isopropílico</t>
  </si>
  <si>
    <t>Pasta Térmica</t>
  </si>
  <si>
    <t>Limpia Contactos</t>
  </si>
  <si>
    <t>Alcohol Etílico</t>
  </si>
  <si>
    <t>Paño Limpiador</t>
  </si>
  <si>
    <t>Toallas Húmedas Para Equipos Electrónicos</t>
  </si>
  <si>
    <t>Unidad En Estado Sólido M.2 2280 512 Gb Nvme Pcie 4.0</t>
  </si>
  <si>
    <t>Unidad De Estado Sólido (Ssd) De 480Gb, 2.5", Sata.</t>
  </si>
  <si>
    <t>Baterías AA</t>
  </si>
  <si>
    <t>Baterías AAA</t>
  </si>
  <si>
    <t>Baterías Botón</t>
  </si>
  <si>
    <t>Batería Para Laptop M5Y1K</t>
  </si>
  <si>
    <t>Tarjeta Pci Express para conectividad de red inalámbrica con doble banda Ac1200</t>
  </si>
  <si>
    <t>Baterías UPS</t>
  </si>
  <si>
    <t>Entrada</t>
  </si>
  <si>
    <t>Egresos</t>
  </si>
  <si>
    <t>Total</t>
  </si>
  <si>
    <t>Kit de Limpieza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</si>
  <si>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</si>
  <si>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</si>
  <si>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</si>
  <si>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</si>
  <si>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</si>
  <si>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</si>
  <si>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</si>
  <si>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</si>
  <si>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</si>
  <si>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</si>
  <si>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</si>
  <si>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</si>
  <si>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Stock original</t>
  </si>
  <si>
    <t>Tarjeta Pci Express para conectividad de red inalámbrica con doble banda Ax3000</t>
  </si>
  <si>
    <t xml:space="preserve">Disco Duro Mecanicos 1Tb </t>
  </si>
  <si>
    <t>Memoria Ram DDR4 para Laptop 16Gb</t>
  </si>
  <si>
    <t>Memoria Ram DDR4 para Desktop 8Gb</t>
  </si>
  <si>
    <t>Inventario de Insumos - Varios</t>
  </si>
  <si>
    <t>Stock</t>
  </si>
  <si>
    <t>Requerir 2026</t>
  </si>
  <si>
    <t>Solicitar</t>
  </si>
  <si>
    <t xml:space="preserve">Disco Duro en estado sólido 2.5" 1Tb </t>
  </si>
  <si>
    <t>Inventario de Insumos - Mantenimiento Preventivo</t>
  </si>
  <si>
    <t>2 Gramos</t>
  </si>
  <si>
    <t>Restaurador de Plásticos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</si>
</sst>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.5"/>
      <color theme="1"/>
      <name val="Ebrima"/>
      <family val="2"/>
    </font>
    <font>
      <b/>
      <sz val="10.5"/>
      <color theme="1"/>
      <name val="Ebrima"/>
    </font>
    <font>
      <b/>
      <sz val="10.5"/>
      <color theme="0"/>
      <name val="Ebrima"/>
    </font>
    <font>
      <b/>
      <sz val="16"/>
      <color theme="0"/>
      <name val="Ebrima"/>
    </font>
    <font>
      <sz val="8"/>
      <name val="Ebri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0"/>
  <sheetViews>
    <sheetView showGridLines="0" tabSelected="1" topLeftCell="A4" workbookViewId="0">
      <selection activeCell="L12" sqref="L12"/>
    </sheetView>
  </sheetViews>
  <sheetFormatPr baseColWidth="10" defaultRowHeight="15.75" x14ac:dyDescent="0.3"/>
  <cols>
    <col min="1" max="1" width="3.875" bestFit="1" customWidth="1"/>
    <col min="2" max="2" width="37.125" bestFit="1" customWidth="1"/>
    <col min="3" max="4" width="11.625" style="1" bestFit="1" customWidth="1"/>
    <col min="5" max="5" width="12.5" style="1" bestFit="1" customWidth="1"/>
    <col min="6" max="13" width="7.625" style="1" customWidth="1"/>
    <col min="14" max="18" width="11.625" style="1" customWidth="1"/>
    <col min="19" max="19" width="7.25" style="1" bestFit="1" customWidth="1"/>
    <col min="20" max="20" width="7.25" style="1" customWidth="1"/>
    <col min="21" max="21" width="11.625" style="1" customWidth="1"/>
  </cols>
  <sheetData>
    <row r="1" spans="1:2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/>
    </row>
    <row r="2" spans="1:2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/>
    </row>
    <row r="3" spans="1:21" x14ac:dyDescent="0.3">
      <c r="A3" s="2"/>
      <c r="B3" s="2"/>
    </row>
    <row r="4" spans="1:21" ht="25.5" x14ac:dyDescent="0.5">
      <c r="A4" s="13" t="s">
        <v>65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6" spans="1:21" s="5" customFormat="1" ht="31.5" x14ac:dyDescent="0.3">
      <c r="A6" s="6" t="s">
        <v>2</v>
      </c>
      <c r="B6" s="7" t="s">
        <v>3</v>
      </c>
      <c r="C6" s="7" t="s">
        <v>4</v>
      </c>
      <c r="D6" s="10" t="s">
        <v>21</v>
      </c>
      <c r="E6" s="8" t="s">
        <v>61</v>
      </c>
      <c r="F6" s="8" t="s">
        <v>39</v>
      </c>
      <c r="G6" s="8" t="s">
        <v>43</v>
      </c>
      <c r="H6" s="8" t="s">
        <v>44</v>
      </c>
      <c r="I6" s="8" t="s">
        <v>45</v>
      </c>
      <c r="J6" s="8" t="s">
        <v>46</v>
      </c>
      <c r="K6" s="8" t="s">
        <v>47</v>
      </c>
      <c r="L6" s="8" t="s">
        <v>48</v>
      </c>
      <c r="M6" s="8" t="s">
        <v>49</v>
      </c>
      <c r="N6" s="8" t="s">
        <v>50</v>
      </c>
      <c r="O6" s="8" t="s">
        <v>51</v>
      </c>
      <c r="P6" s="8" t="s">
        <v>52</v>
      </c>
      <c r="Q6" s="8" t="s">
        <v>53</v>
      </c>
      <c r="R6" s="8" t="s">
        <v>54</v>
      </c>
      <c r="S6" s="8" t="s">
        <v>40</v>
      </c>
      <c r="T6" s="9" t="s">
        <v>41</v>
      </c>
      <c r="U6" s="11" t="s">
        <v>62</v>
      </c>
    </row>
    <row r="7" spans="1:21" ht="32.1" customHeight="1" x14ac:dyDescent="0.3">
      <c r="A7" s="4">
        <v>1</v>
      </c>
      <c r="B7" s="3" t="s">
        <v>22</v>
      </c>
      <c r="C7" s="4" t="s">
        <v>6</v>
      </c>
      <c r="D7" s="4" t="s">
        <v>7</v>
      </c>
      <c r="E7" s="4">
        <v>104</v>
      </c>
      <c r="F7" s="4">
        <v>0</v>
      </c>
      <c r="G7" s="4">
        <v>0</v>
      </c>
      <c r="H7" s="4">
        <v>36</v>
      </c>
      <c r="I7" s="4">
        <v>1</v>
      </c>
      <c r="J7" s="4"/>
      <c r="K7" s="4"/>
      <c r="L7" s="4"/>
      <c r="M7" s="4"/>
      <c r="N7" s="4"/>
      <c r="O7" s="4"/>
      <c r="P7" s="4"/>
      <c r="Q7" s="4"/>
      <c r="R7" s="4"/>
      <c r="S7" s="4">
        <f t="shared" ref="S7:S20" si="0">SUM(G7:R7)</f>
        <v>37</v>
      </c>
      <c r="T7" s="4">
        <f t="shared" ref="T7:T20" si="1">(E7+F7)-S7</f>
        <v>67</v>
      </c>
      <c r="U7" s="4">
        <v>500</v>
      </c>
    </row>
    <row r="8" spans="1:21" ht="32.1" customHeight="1" x14ac:dyDescent="0.3">
      <c r="A8" s="4">
        <v>2</v>
      </c>
      <c r="B8" s="3" t="s">
        <v>25</v>
      </c>
      <c r="C8" s="4" t="s">
        <v>6</v>
      </c>
      <c r="D8" s="4" t="s">
        <v>10</v>
      </c>
      <c r="E8" s="4">
        <v>3</v>
      </c>
      <c r="F8" s="4">
        <v>0</v>
      </c>
      <c r="G8" s="4">
        <v>0</v>
      </c>
      <c r="H8" s="4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>
        <f t="shared" si="0"/>
        <v>0</v>
      </c>
      <c r="T8" s="4">
        <f t="shared" si="1"/>
        <v>3</v>
      </c>
      <c r="U8" s="4">
        <v>0</v>
      </c>
    </row>
    <row r="9" spans="1:21" ht="32.1" customHeight="1" x14ac:dyDescent="0.3">
      <c r="A9" s="4">
        <v>3</v>
      </c>
      <c r="B9" s="3" t="s">
        <v>35</v>
      </c>
      <c r="C9" s="4" t="s">
        <v>5</v>
      </c>
      <c r="D9" s="4" t="s">
        <v>16</v>
      </c>
      <c r="E9" s="4">
        <v>12</v>
      </c>
      <c r="F9" s="4">
        <v>0</v>
      </c>
      <c r="G9" s="4">
        <v>0</v>
      </c>
      <c r="H9" s="4">
        <v>0</v>
      </c>
      <c r="I9" s="4">
        <v>1</v>
      </c>
      <c r="J9" s="4"/>
      <c r="K9" s="4"/>
      <c r="L9" s="4"/>
      <c r="M9" s="4"/>
      <c r="N9" s="4"/>
      <c r="O9" s="4"/>
      <c r="P9" s="4"/>
      <c r="Q9" s="4"/>
      <c r="R9" s="4"/>
      <c r="S9" s="4">
        <f t="shared" si="0"/>
        <v>1</v>
      </c>
      <c r="T9" s="4">
        <f t="shared" si="1"/>
        <v>11</v>
      </c>
      <c r="U9" s="4">
        <v>25</v>
      </c>
    </row>
    <row r="10" spans="1:21" ht="32.1" customHeight="1" x14ac:dyDescent="0.3">
      <c r="A10" s="4">
        <v>4</v>
      </c>
      <c r="B10" s="3" t="s">
        <v>38</v>
      </c>
      <c r="C10" s="4" t="s">
        <v>5</v>
      </c>
      <c r="D10" s="4" t="s">
        <v>16</v>
      </c>
      <c r="E10" s="4">
        <v>75</v>
      </c>
      <c r="F10" s="4">
        <v>80</v>
      </c>
      <c r="G10" s="4">
        <v>0</v>
      </c>
      <c r="H10" s="4">
        <v>12</v>
      </c>
      <c r="I10" s="4">
        <v>4</v>
      </c>
      <c r="J10" s="4"/>
      <c r="K10" s="4"/>
      <c r="L10" s="4"/>
      <c r="M10" s="4"/>
      <c r="N10" s="4"/>
      <c r="O10" s="4"/>
      <c r="P10" s="4"/>
      <c r="Q10" s="4"/>
      <c r="R10" s="4"/>
      <c r="S10" s="4">
        <f t="shared" si="0"/>
        <v>16</v>
      </c>
      <c r="T10" s="4">
        <f t="shared" si="1"/>
        <v>139</v>
      </c>
      <c r="U10" s="4">
        <v>0</v>
      </c>
    </row>
    <row r="11" spans="1:21" ht="32.1" customHeight="1" x14ac:dyDescent="0.3">
      <c r="A11" s="4">
        <v>5</v>
      </c>
      <c r="B11" s="3" t="s">
        <v>24</v>
      </c>
      <c r="C11" s="4" t="s">
        <v>6</v>
      </c>
      <c r="D11" s="4" t="s">
        <v>7</v>
      </c>
      <c r="E11" s="4">
        <v>257</v>
      </c>
      <c r="F11" s="4">
        <v>0</v>
      </c>
      <c r="G11" s="4">
        <v>0</v>
      </c>
      <c r="H11" s="4">
        <v>10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>
        <f t="shared" si="0"/>
        <v>10</v>
      </c>
      <c r="T11" s="4">
        <f t="shared" si="1"/>
        <v>247</v>
      </c>
      <c r="U11" s="4">
        <v>0</v>
      </c>
    </row>
    <row r="12" spans="1:21" ht="32.1" customHeight="1" x14ac:dyDescent="0.3">
      <c r="A12" s="4">
        <v>6</v>
      </c>
      <c r="B12" s="3" t="s">
        <v>42</v>
      </c>
      <c r="C12" s="4" t="s">
        <v>5</v>
      </c>
      <c r="D12" s="4" t="s">
        <v>14</v>
      </c>
      <c r="E12" s="4">
        <v>42</v>
      </c>
      <c r="F12" s="4">
        <v>0</v>
      </c>
      <c r="G12" s="4">
        <v>0</v>
      </c>
      <c r="H12" s="4">
        <v>8</v>
      </c>
      <c r="I12" s="4">
        <v>1</v>
      </c>
      <c r="J12" s="4"/>
      <c r="K12" s="4"/>
      <c r="L12" s="4"/>
      <c r="M12" s="4"/>
      <c r="N12" s="4"/>
      <c r="O12" s="4"/>
      <c r="P12" s="4"/>
      <c r="Q12" s="4"/>
      <c r="R12" s="4"/>
      <c r="S12" s="4">
        <f t="shared" si="0"/>
        <v>9</v>
      </c>
      <c r="T12" s="4">
        <f t="shared" si="1"/>
        <v>33</v>
      </c>
      <c r="U12" s="4">
        <v>36</v>
      </c>
    </row>
    <row r="13" spans="1:21" ht="32.1" customHeight="1" x14ac:dyDescent="0.3">
      <c r="A13" s="4">
        <v>7</v>
      </c>
      <c r="B13" s="3" t="s">
        <v>27</v>
      </c>
      <c r="C13" s="4" t="s">
        <v>13</v>
      </c>
      <c r="D13" s="4" t="s">
        <v>7</v>
      </c>
      <c r="E13" s="4">
        <v>72</v>
      </c>
      <c r="F13" s="4">
        <v>0</v>
      </c>
      <c r="G13" s="4">
        <v>0</v>
      </c>
      <c r="H13" s="4">
        <v>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f t="shared" si="0"/>
        <v>3</v>
      </c>
      <c r="T13" s="4">
        <f t="shared" si="1"/>
        <v>69</v>
      </c>
      <c r="U13" s="4">
        <v>0</v>
      </c>
    </row>
    <row r="14" spans="1:21" ht="32.1" customHeight="1" x14ac:dyDescent="0.3">
      <c r="A14" s="4">
        <v>8</v>
      </c>
      <c r="B14" s="3" t="s">
        <v>29</v>
      </c>
      <c r="C14" s="4" t="s">
        <v>5</v>
      </c>
      <c r="D14" s="4" t="s">
        <v>14</v>
      </c>
      <c r="E14" s="4">
        <v>30</v>
      </c>
      <c r="F14" s="4">
        <v>0</v>
      </c>
      <c r="G14" s="4">
        <v>0</v>
      </c>
      <c r="H14" s="4">
        <v>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f t="shared" si="0"/>
        <v>5</v>
      </c>
      <c r="T14" s="4">
        <f t="shared" si="1"/>
        <v>25</v>
      </c>
      <c r="U14" s="4">
        <v>0</v>
      </c>
    </row>
    <row r="15" spans="1:21" ht="32.1" customHeight="1" x14ac:dyDescent="0.3">
      <c r="A15" s="4">
        <v>9</v>
      </c>
      <c r="B15" s="3" t="s">
        <v>26</v>
      </c>
      <c r="C15" s="4" t="s">
        <v>11</v>
      </c>
      <c r="D15" s="4" t="s">
        <v>12</v>
      </c>
      <c r="E15" s="4">
        <v>17</v>
      </c>
      <c r="F15" s="4">
        <v>0</v>
      </c>
      <c r="G15" s="4">
        <v>0</v>
      </c>
      <c r="H15" s="4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f t="shared" si="0"/>
        <v>1</v>
      </c>
      <c r="T15" s="4">
        <f t="shared" si="1"/>
        <v>16</v>
      </c>
      <c r="U15" s="4">
        <v>0</v>
      </c>
    </row>
    <row r="16" spans="1:21" ht="32.1" customHeight="1" x14ac:dyDescent="0.3">
      <c r="A16" s="4">
        <v>10</v>
      </c>
      <c r="B16" s="3" t="s">
        <v>26</v>
      </c>
      <c r="C16" s="4" t="s">
        <v>11</v>
      </c>
      <c r="D16" s="4" t="s">
        <v>66</v>
      </c>
      <c r="E16" s="4">
        <v>0</v>
      </c>
      <c r="F16" s="4">
        <v>30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f>SUM(G16:R16)</f>
        <v>0</v>
      </c>
      <c r="T16" s="4">
        <f t="shared" ref="T16" si="2">(E16+F16)-S16</f>
        <v>30</v>
      </c>
      <c r="U16" s="4">
        <v>0</v>
      </c>
    </row>
    <row r="17" spans="1:21" ht="32.1" customHeight="1" x14ac:dyDescent="0.3">
      <c r="A17" s="4">
        <v>11</v>
      </c>
      <c r="B17" s="3" t="s">
        <v>67</v>
      </c>
      <c r="C17" s="4" t="s">
        <v>6</v>
      </c>
      <c r="D17" s="4" t="s">
        <v>15</v>
      </c>
      <c r="E17" s="4">
        <v>8</v>
      </c>
      <c r="F17" s="4">
        <v>0</v>
      </c>
      <c r="G17" s="4">
        <v>0</v>
      </c>
      <c r="H17" s="4"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f t="shared" si="0"/>
        <v>0</v>
      </c>
      <c r="T17" s="4">
        <f t="shared" si="1"/>
        <v>8</v>
      </c>
      <c r="U17" s="4">
        <v>0</v>
      </c>
    </row>
    <row r="18" spans="1:21" ht="32.1" customHeight="1" x14ac:dyDescent="0.3">
      <c r="A18" s="4">
        <v>11</v>
      </c>
      <c r="B18" s="3" t="s">
        <v>67</v>
      </c>
      <c r="C18" s="4" t="s">
        <v>6</v>
      </c>
      <c r="D18" s="4" t="s">
        <v>17</v>
      </c>
      <c r="E18" s="4">
        <v>6</v>
      </c>
      <c r="F18" s="4">
        <v>0</v>
      </c>
      <c r="G18" s="4">
        <v>0</v>
      </c>
      <c r="H18" s="4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f t="shared" si="0"/>
        <v>0</v>
      </c>
      <c r="T18" s="4">
        <f t="shared" si="1"/>
        <v>6</v>
      </c>
      <c r="U18" s="4">
        <v>0</v>
      </c>
    </row>
    <row r="19" spans="1:21" ht="32.1" customHeight="1" x14ac:dyDescent="0.3">
      <c r="A19" s="4">
        <v>12</v>
      </c>
      <c r="B19" s="3" t="s">
        <v>30</v>
      </c>
      <c r="C19" s="4" t="s">
        <v>13</v>
      </c>
      <c r="D19" s="4" t="s">
        <v>20</v>
      </c>
      <c r="E19" s="4">
        <v>5</v>
      </c>
      <c r="F19" s="4">
        <v>0</v>
      </c>
      <c r="G19" s="4">
        <v>0</v>
      </c>
      <c r="H19" s="4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f t="shared" si="0"/>
        <v>0</v>
      </c>
      <c r="T19" s="4">
        <f t="shared" si="1"/>
        <v>5</v>
      </c>
      <c r="U19" s="4">
        <v>50</v>
      </c>
    </row>
    <row r="20" spans="1:21" ht="32.1" customHeight="1" x14ac:dyDescent="0.3">
      <c r="A20" s="4">
        <v>13</v>
      </c>
      <c r="B20" s="3" t="s">
        <v>23</v>
      </c>
      <c r="C20" s="4" t="s">
        <v>8</v>
      </c>
      <c r="D20" s="4" t="s">
        <v>9</v>
      </c>
      <c r="E20" s="4">
        <v>40</v>
      </c>
      <c r="F20" s="4">
        <v>0</v>
      </c>
      <c r="G20" s="4">
        <v>0</v>
      </c>
      <c r="H20" s="4"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f t="shared" si="0"/>
        <v>0</v>
      </c>
      <c r="T20" s="4">
        <f t="shared" si="1"/>
        <v>40</v>
      </c>
      <c r="U20" s="4">
        <v>0</v>
      </c>
    </row>
  </sheetData>
  <sortState xmlns:xlrd2="http://schemas.microsoft.com/office/spreadsheetml/2017/richdata2" ref="B7:U20">
    <sortCondition ref="B7:B20"/>
  </sortState>
  <mergeCells count="3">
    <mergeCell ref="A1:T1"/>
    <mergeCell ref="A2:T2"/>
    <mergeCell ref="A4:U4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145" scale="66" orientation="landscape" r:id="rId1"/>
  <ignoredErrors>
    <ignoredError sqref="S7:S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1FE1-B20C-479F-8636-E0A40F51AB23}">
  <dimension ref="A1:T18"/>
  <sheetViews>
    <sheetView showGridLines="0" topLeftCell="A2" workbookViewId="0">
      <selection activeCell="M15" sqref="M15"/>
    </sheetView>
  </sheetViews>
  <sheetFormatPr baseColWidth="10" defaultRowHeight="15.75" x14ac:dyDescent="0.3"/>
  <cols>
    <col min="1" max="1" width="3.875" bestFit="1" customWidth="1"/>
    <col min="2" max="2" width="37.125" bestFit="1" customWidth="1"/>
    <col min="3" max="4" width="11.625" style="1" bestFit="1" customWidth="1"/>
    <col min="5" max="5" width="12.5" style="1" bestFit="1" customWidth="1"/>
    <col min="6" max="12" width="7.625" style="1" customWidth="1"/>
    <col min="13" max="17" width="11.625" style="1" customWidth="1"/>
    <col min="18" max="18" width="7.25" style="1" bestFit="1" customWidth="1"/>
    <col min="19" max="20" width="11.625" style="1" customWidth="1"/>
  </cols>
  <sheetData>
    <row r="1" spans="1:20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/>
    </row>
    <row r="2" spans="1:20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/>
    </row>
    <row r="3" spans="1:20" x14ac:dyDescent="0.3">
      <c r="A3" s="2"/>
      <c r="B3" s="2"/>
    </row>
    <row r="4" spans="1:20" ht="25.5" x14ac:dyDescent="0.5">
      <c r="A4" s="13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6" spans="1:20" s="5" customFormat="1" ht="31.5" x14ac:dyDescent="0.3">
      <c r="A6" s="6" t="s">
        <v>2</v>
      </c>
      <c r="B6" s="7" t="s">
        <v>3</v>
      </c>
      <c r="C6" s="7" t="s">
        <v>4</v>
      </c>
      <c r="D6" s="10" t="s">
        <v>21</v>
      </c>
      <c r="E6" s="8" t="s">
        <v>55</v>
      </c>
      <c r="F6" s="8" t="s">
        <v>39</v>
      </c>
      <c r="G6" s="8" t="s">
        <v>44</v>
      </c>
      <c r="H6" s="8" t="s">
        <v>45</v>
      </c>
      <c r="I6" s="8" t="s">
        <v>46</v>
      </c>
      <c r="J6" s="8" t="s">
        <v>47</v>
      </c>
      <c r="K6" s="8" t="s">
        <v>48</v>
      </c>
      <c r="L6" s="8" t="s">
        <v>49</v>
      </c>
      <c r="M6" s="8" t="s">
        <v>50</v>
      </c>
      <c r="N6" s="8" t="s">
        <v>51</v>
      </c>
      <c r="O6" s="8" t="s">
        <v>52</v>
      </c>
      <c r="P6" s="8" t="s">
        <v>53</v>
      </c>
      <c r="Q6" s="8" t="s">
        <v>54</v>
      </c>
      <c r="R6" s="8" t="s">
        <v>40</v>
      </c>
      <c r="S6" s="9" t="s">
        <v>41</v>
      </c>
      <c r="T6" s="9" t="s">
        <v>63</v>
      </c>
    </row>
    <row r="7" spans="1:20" ht="32.1" customHeight="1" x14ac:dyDescent="0.3">
      <c r="A7" s="4">
        <v>1</v>
      </c>
      <c r="B7" s="3" t="s">
        <v>28</v>
      </c>
      <c r="C7" s="4" t="s">
        <v>6</v>
      </c>
      <c r="D7" s="4" t="s">
        <v>15</v>
      </c>
      <c r="E7" s="4">
        <v>14</v>
      </c>
      <c r="F7" s="4"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>
        <f t="shared" ref="R7:R18" si="0">SUM(G7:Q7)</f>
        <v>0</v>
      </c>
      <c r="S7" s="4">
        <f t="shared" ref="S7:S18" si="1">(E7+F7)-R7</f>
        <v>14</v>
      </c>
      <c r="T7" s="4">
        <v>0</v>
      </c>
    </row>
    <row r="8" spans="1:20" ht="32.1" customHeight="1" x14ac:dyDescent="0.3">
      <c r="A8" s="4">
        <v>2</v>
      </c>
      <c r="B8" s="3" t="s">
        <v>36</v>
      </c>
      <c r="C8" s="4" t="s">
        <v>5</v>
      </c>
      <c r="D8" s="4" t="s">
        <v>16</v>
      </c>
      <c r="E8" s="4">
        <v>31</v>
      </c>
      <c r="F8" s="4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>
        <f t="shared" si="0"/>
        <v>0</v>
      </c>
      <c r="S8" s="4">
        <f t="shared" si="1"/>
        <v>31</v>
      </c>
      <c r="T8" s="4">
        <v>0</v>
      </c>
    </row>
    <row r="9" spans="1:20" ht="32.1" customHeight="1" x14ac:dyDescent="0.3">
      <c r="A9" s="4">
        <v>3</v>
      </c>
      <c r="B9" s="3" t="s">
        <v>33</v>
      </c>
      <c r="C9" s="4" t="s">
        <v>18</v>
      </c>
      <c r="D9" s="4" t="s">
        <v>19</v>
      </c>
      <c r="E9" s="4">
        <v>13</v>
      </c>
      <c r="F9" s="4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>
        <f t="shared" si="0"/>
        <v>0</v>
      </c>
      <c r="S9" s="4">
        <f t="shared" si="1"/>
        <v>13</v>
      </c>
      <c r="T9" s="4">
        <v>0</v>
      </c>
    </row>
    <row r="10" spans="1:20" ht="32.1" customHeight="1" x14ac:dyDescent="0.3">
      <c r="A10" s="4">
        <v>4</v>
      </c>
      <c r="B10" s="3" t="s">
        <v>34</v>
      </c>
      <c r="C10" s="4" t="s">
        <v>18</v>
      </c>
      <c r="D10" s="4" t="s">
        <v>19</v>
      </c>
      <c r="E10" s="4">
        <v>6</v>
      </c>
      <c r="F10" s="4"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 t="shared" si="0"/>
        <v>0</v>
      </c>
      <c r="S10" s="4">
        <f t="shared" si="1"/>
        <v>6</v>
      </c>
      <c r="T10" s="4">
        <v>0</v>
      </c>
    </row>
    <row r="11" spans="1:20" ht="32.1" customHeight="1" x14ac:dyDescent="0.3">
      <c r="A11" s="4">
        <v>5</v>
      </c>
      <c r="B11" s="3" t="s">
        <v>64</v>
      </c>
      <c r="C11" s="4" t="s">
        <v>5</v>
      </c>
      <c r="D11" s="4" t="s">
        <v>16</v>
      </c>
      <c r="E11" s="4">
        <v>0</v>
      </c>
      <c r="F11" s="4"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f t="shared" si="0"/>
        <v>0</v>
      </c>
      <c r="S11" s="4">
        <f t="shared" si="1"/>
        <v>0</v>
      </c>
      <c r="T11" s="4">
        <v>10</v>
      </c>
    </row>
    <row r="12" spans="1:20" ht="32.1" customHeight="1" x14ac:dyDescent="0.3">
      <c r="A12" s="4">
        <v>6</v>
      </c>
      <c r="B12" s="3" t="s">
        <v>37</v>
      </c>
      <c r="C12" s="4" t="s">
        <v>5</v>
      </c>
      <c r="D12" s="4" t="s">
        <v>16</v>
      </c>
      <c r="E12" s="4">
        <v>17</v>
      </c>
      <c r="F12" s="4"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f t="shared" si="0"/>
        <v>0</v>
      </c>
      <c r="S12" s="4">
        <f t="shared" si="1"/>
        <v>17</v>
      </c>
      <c r="T12" s="4">
        <v>0</v>
      </c>
    </row>
    <row r="13" spans="1:20" ht="32.1" customHeight="1" x14ac:dyDescent="0.3">
      <c r="A13" s="4">
        <v>7</v>
      </c>
      <c r="B13" s="3" t="s">
        <v>32</v>
      </c>
      <c r="C13" s="4" t="s">
        <v>5</v>
      </c>
      <c r="D13" s="4" t="s">
        <v>16</v>
      </c>
      <c r="E13" s="4">
        <v>25</v>
      </c>
      <c r="F13" s="4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f t="shared" si="0"/>
        <v>0</v>
      </c>
      <c r="S13" s="4">
        <f t="shared" si="1"/>
        <v>25</v>
      </c>
      <c r="T13" s="4">
        <v>0</v>
      </c>
    </row>
    <row r="14" spans="1:20" ht="32.1" customHeight="1" x14ac:dyDescent="0.3">
      <c r="A14" s="4">
        <v>8</v>
      </c>
      <c r="B14" s="3" t="s">
        <v>31</v>
      </c>
      <c r="C14" s="4" t="s">
        <v>5</v>
      </c>
      <c r="D14" s="4" t="s">
        <v>16</v>
      </c>
      <c r="E14" s="4">
        <v>18</v>
      </c>
      <c r="F14" s="4">
        <v>0</v>
      </c>
      <c r="G14" s="4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 t="shared" si="0"/>
        <v>1</v>
      </c>
      <c r="S14" s="4">
        <f t="shared" si="1"/>
        <v>17</v>
      </c>
      <c r="T14" s="4">
        <v>0</v>
      </c>
    </row>
    <row r="15" spans="1:20" ht="32.1" customHeight="1" x14ac:dyDescent="0.3">
      <c r="A15" s="4">
        <v>9</v>
      </c>
      <c r="B15" s="3" t="s">
        <v>56</v>
      </c>
      <c r="C15" s="4" t="s">
        <v>5</v>
      </c>
      <c r="D15" s="4" t="s">
        <v>16</v>
      </c>
      <c r="E15" s="4">
        <v>81</v>
      </c>
      <c r="F15" s="4">
        <v>0</v>
      </c>
      <c r="G15" s="4">
        <v>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f t="shared" si="0"/>
        <v>2</v>
      </c>
      <c r="S15" s="4">
        <f t="shared" si="1"/>
        <v>79</v>
      </c>
      <c r="T15" s="4">
        <v>0</v>
      </c>
    </row>
    <row r="16" spans="1:20" ht="32.1" customHeight="1" x14ac:dyDescent="0.3">
      <c r="A16" s="4">
        <v>10</v>
      </c>
      <c r="B16" s="3" t="s">
        <v>57</v>
      </c>
      <c r="C16" s="4" t="s">
        <v>5</v>
      </c>
      <c r="D16" s="4" t="s">
        <v>16</v>
      </c>
      <c r="E16" s="4">
        <v>6</v>
      </c>
      <c r="F16" s="4"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>
        <f t="shared" si="0"/>
        <v>0</v>
      </c>
      <c r="S16" s="4">
        <f t="shared" si="1"/>
        <v>6</v>
      </c>
      <c r="T16" s="4">
        <v>12</v>
      </c>
    </row>
    <row r="17" spans="1:20" ht="32.1" customHeight="1" x14ac:dyDescent="0.3">
      <c r="A17" s="4">
        <v>11</v>
      </c>
      <c r="B17" s="3" t="s">
        <v>59</v>
      </c>
      <c r="C17" s="4" t="s">
        <v>5</v>
      </c>
      <c r="D17" s="4" t="s">
        <v>16</v>
      </c>
      <c r="E17" s="4">
        <v>35</v>
      </c>
      <c r="F17" s="4"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>
        <f t="shared" si="0"/>
        <v>0</v>
      </c>
      <c r="S17" s="4">
        <f t="shared" si="1"/>
        <v>35</v>
      </c>
      <c r="T17" s="4">
        <v>0</v>
      </c>
    </row>
    <row r="18" spans="1:20" ht="32.1" customHeight="1" x14ac:dyDescent="0.3">
      <c r="A18" s="4">
        <v>12</v>
      </c>
      <c r="B18" s="3" t="s">
        <v>58</v>
      </c>
      <c r="C18" s="4" t="s">
        <v>5</v>
      </c>
      <c r="D18" s="4" t="s">
        <v>16</v>
      </c>
      <c r="E18" s="4">
        <v>40</v>
      </c>
      <c r="F18" s="4">
        <v>0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>
        <f t="shared" si="0"/>
        <v>1</v>
      </c>
      <c r="S18" s="4">
        <f t="shared" si="1"/>
        <v>39</v>
      </c>
      <c r="T18" s="4">
        <v>0</v>
      </c>
    </row>
  </sheetData>
  <mergeCells count="3">
    <mergeCell ref="A1:S1"/>
    <mergeCell ref="A2:S2"/>
    <mergeCell ref="A4:T4"/>
  </mergeCells>
  <pageMargins left="0.7" right="0.7" top="0.75" bottom="0.75" header="0.3" footer="0.3"/>
  <pageSetup orientation="portrait" r:id="rId1"/>
  <ignoredErrors>
    <ignoredError sqref="R7 R8:R11 R13:R18 R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Mantenimiento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Patzy</dc:creator>
  <cp:lastModifiedBy>Christian Policarpio</cp:lastModifiedBy>
  <cp:lastPrinted>2026-02-11T16:53:27Z</cp:lastPrinted>
  <dcterms:created xsi:type="dcterms:W3CDTF">2024-10-09T20:38:28Z</dcterms:created>
  <dcterms:modified xsi:type="dcterms:W3CDTF">2026-03-10T16:54:05Z</dcterms:modified>
</cp:coreProperties>
</file>